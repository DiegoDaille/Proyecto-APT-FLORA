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666" documentId="8_{2EFDF332-31E9-4C74-A6B5-E695634C1C45}" xr6:coauthVersionLast="47" xr6:coauthVersionMax="47" xr10:uidLastSave="{7FFB40FA-F464-4523-AAE5-49C0D7361C7F}"/>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<sst xmlns="http://schemas.openxmlformats.org/spreadsheetml/2006/main" count="157" uniqueCount="98">
  <si>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</si>
  <si>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</si>
  <si>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</si>
  <si>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DELGADO ESCOBAR JOSE</t>
  </si>
  <si>
    <t>DAILLE ALVAREZ DIEGO</t>
  </si>
  <si>
    <t>MAULEN LOYOLA ALBERTO JESUS</t>
  </si>
  <si>
    <t>GRUPAL</t>
  </si>
  <si>
    <t>Nivel de Logro</t>
  </si>
  <si>
    <t>NIVELES DE LOGRO Y PUNTAJES</t>
  </si>
  <si>
    <t>Aspectos a Evaluar</t>
  </si>
  <si>
    <t>Completamente logrado</t>
  </si>
  <si>
    <t>Logrado</t>
  </si>
  <si>
    <t>Logro Incipiente</t>
  </si>
  <si>
    <t>No logrado</t>
  </si>
  <si>
    <t>Logro incipiente</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</si>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</sst>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13" fillId="0" borderId="1" xfId="0" applyFont="1" applyBorder="1"/>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8" sqref="B8"/>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3">
        <v>1</v>
      </c>
    </row>
    <row r="3" spans="1:11">
      <c r="B3" s="3" t="s">
        <v>0</v>
      </c>
      <c r="C3" s="4" t="s">
        <v>1</v>
      </c>
      <c r="D3" s="2" t="s">
        <v>2</v>
      </c>
      <c r="E3" s="68"/>
    </row>
    <row r="4" spans="1:11">
      <c r="A4" s="5">
        <v>1</v>
      </c>
      <c r="B4" s="67" t="s">
        <v>3</v>
      </c>
      <c r="C4" s="6">
        <f>EVALUACION1!$C$24</f>
        <v>5.6</v>
      </c>
      <c r="D4" s="6">
        <f>$C$35</f>
        <v>6</v>
      </c>
      <c r="E4" s="42">
        <f>C4*C$2+D4*D$2</f>
        <v>5.6999999999999993</v>
      </c>
      <c r="G4" s="1"/>
    </row>
    <row r="5" spans="1:11">
      <c r="A5" s="5">
        <v>2</v>
      </c>
      <c r="B5" s="67" t="s">
        <v>4</v>
      </c>
      <c r="C5" s="6">
        <f>EVALUACION1!$C$24</f>
        <v>5.6</v>
      </c>
      <c r="D5" s="6">
        <f>C47</f>
        <v>7</v>
      </c>
      <c r="E5" s="42">
        <f t="shared" ref="E5:E6" si="0">C5*C$2+D5*D$2</f>
        <v>5.9499999999999993</v>
      </c>
      <c r="G5" s="1"/>
    </row>
    <row r="6" spans="1:11">
      <c r="A6" s="5">
        <v>3</v>
      </c>
      <c r="B6" s="67" t="s">
        <v>5</v>
      </c>
      <c r="C6" s="6">
        <f>EVALUACION1!$C$24</f>
        <v>5.6</v>
      </c>
      <c r="D6" s="6">
        <f>C58</f>
        <v>6</v>
      </c>
      <c r="E6" s="42">
        <f t="shared" si="0"/>
        <v>5.6999999999999993</v>
      </c>
      <c r="G6" s="1"/>
    </row>
    <row r="11" spans="1:11" ht="18.75" outlineLevel="1">
      <c r="A11" s="54" t="s">
        <v>6</v>
      </c>
      <c r="B11" s="14"/>
      <c r="C11" s="49" t="s">
        <v>7</v>
      </c>
      <c r="D11" s="51" t="s">
        <v>8</v>
      </c>
      <c r="E11" s="69"/>
      <c r="F11" s="69"/>
      <c r="G11" s="69"/>
      <c r="H11" s="69"/>
      <c r="I11" s="69"/>
      <c r="J11" s="69"/>
      <c r="K11" s="70"/>
    </row>
    <row r="12" spans="1:11" outlineLevel="1">
      <c r="A12" s="71"/>
      <c r="B12" s="24" t="s">
        <v>9</v>
      </c>
      <c r="C12" s="68"/>
      <c r="D12" s="51" t="s">
        <v>10</v>
      </c>
      <c r="E12" s="70"/>
      <c r="F12" s="51" t="s">
        <v>11</v>
      </c>
      <c r="G12" s="70"/>
      <c r="H12" s="51" t="s">
        <v>12</v>
      </c>
      <c r="I12" s="70"/>
      <c r="J12" s="51" t="s">
        <v>13</v>
      </c>
      <c r="K12" s="70"/>
    </row>
    <row r="13" spans="1:11" ht="24" outlineLevel="1">
      <c r="A13" s="72"/>
      <c r="B13" s="34" t="str">
        <f>RUBRICA!A5</f>
        <v>1. Describe brevemente en qué consiste el Proyecto APT, justificando su relevancia para el campo laboral de su carrera.</v>
      </c>
      <c r="C13" s="32" t="s">
        <v>10</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c r="A14" s="72"/>
      <c r="B14" s="34" t="str">
        <f>RUBRICA!A6</f>
        <v>2. Relaciona el Proyecto APT con las competencias del perfil de egreso de su Plan de Estudio.</v>
      </c>
      <c r="C14" s="32" t="s">
        <v>11</v>
      </c>
      <c r="D14" s="16" t="str">
        <f t="shared" si="1"/>
        <v/>
      </c>
      <c r="E14" s="16" t="str">
        <f t="shared" ref="E14" si="6">IF(D14="X",100*0.05,"")</f>
        <v/>
      </c>
      <c r="F14" s="16" t="str">
        <f t="shared" si="2"/>
        <v>X</v>
      </c>
      <c r="G14" s="16">
        <f t="shared" ref="G14" si="7">IF(F14="X",60*0.05,"")</f>
        <v>3</v>
      </c>
      <c r="H14" s="16" t="str">
        <f t="shared" si="3"/>
        <v/>
      </c>
      <c r="I14" s="16" t="str">
        <f t="shared" ref="I14" si="8">IF(H14="X",30*0.05,"")</f>
        <v/>
      </c>
      <c r="J14" s="16" t="str">
        <f t="shared" si="4"/>
        <v/>
      </c>
      <c r="K14" s="16" t="str">
        <f t="shared" si="5"/>
        <v/>
      </c>
    </row>
    <row r="15" spans="1:11" ht="24" outlineLevel="1">
      <c r="A15" s="72"/>
      <c r="B15" s="34" t="str">
        <f>RUBRICA!A8</f>
        <v xml:space="preserve">4.  Argumenta por qué el proyecto es factible de realizarse en el marco de la asignatura. </v>
      </c>
      <c r="C15" s="32" t="s">
        <v>10</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c r="A16" s="72"/>
      <c r="B16" s="34" t="str">
        <f>RUBRICA!A9</f>
        <v xml:space="preserve">5. Formula objetivos claros, concisos y coherentes con la disciplina y la situación a abordar. </v>
      </c>
      <c r="C16" s="32" t="s">
        <v>11</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72"/>
      <c r="B17" s="34" t="str">
        <f>RUBRICA!A10</f>
        <v>6. Propone una metodología de trabajo que permite alcanzar los objetivos propuestos y es pertinente con los requerimientos disciplinares.</v>
      </c>
      <c r="C17" s="32" t="s">
        <v>10</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c r="A18" s="72"/>
      <c r="B18" s="34" t="str">
        <f>RUBRICA!A11</f>
        <v xml:space="preserve">7. Establece un plan de trabajo para su proyecto APT considerando los recursos, duración, facilitadores y obstaculizadores en el desarrollo de las actividades. </v>
      </c>
      <c r="C18" s="32" t="s">
        <v>11</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c r="A19" s="72"/>
      <c r="B19" s="34" t="str">
        <f>RUBRICA!A12</f>
        <v>8. Determina evidencias, justificando cómo estas dan cuenta del logro de las actividades del Proyecto APT.</v>
      </c>
      <c r="C19" s="32" t="s">
        <v>14</v>
      </c>
      <c r="D19" s="16" t="str">
        <f t="shared" si="12"/>
        <v/>
      </c>
      <c r="E19" s="16" t="str">
        <f>IF(D19="X",100*0.05,"")</f>
        <v/>
      </c>
      <c r="F19" s="16" t="str">
        <f t="shared" si="14"/>
        <v/>
      </c>
      <c r="G19" s="16" t="str">
        <f t="shared" ref="G19" si="23">IF(F19="X",60*0.05,"")</f>
        <v/>
      </c>
      <c r="H19" s="16" t="str">
        <f t="shared" si="16"/>
        <v>X</v>
      </c>
      <c r="I19" s="16">
        <f t="shared" ref="I19" si="24">IF(H19="X",30*0.05,"")</f>
        <v>1.5</v>
      </c>
      <c r="J19" s="16" t="str">
        <f t="shared" si="18"/>
        <v/>
      </c>
      <c r="K19" s="16" t="str">
        <f t="shared" si="19"/>
        <v/>
      </c>
    </row>
    <row r="20" spans="1:11" ht="24" outlineLevel="1">
      <c r="A20" s="72"/>
      <c r="B20" s="34" t="str">
        <f>RUBRICA!A13</f>
        <v xml:space="preserve">9. Utiliza reglas de redacción, ortografía (literal, puntual, acentual) y las normas para citas y referencias. </v>
      </c>
      <c r="C20" s="32" t="s">
        <v>10</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c r="A21" s="72"/>
      <c r="B21" s="34" t="str">
        <f>RUBRICA!A14</f>
        <v>10. Cumple completando el contenido del informe de presentación del proyecto de acuerdo con la plantilla entregada.</v>
      </c>
      <c r="C21" s="32" t="s">
        <v>11</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c r="A22" s="72"/>
      <c r="B22" s="34" t="str">
        <f>RUBRICA!A16</f>
        <v>12. Desarrolla un plan de trabajo que permita del logro de los objetivos propuestos del proyecto de 
acuerdo a los tiempos para su desarrollo</v>
      </c>
      <c r="C22" s="32" t="s">
        <v>10</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1"/>
      <c r="B23" s="33" t="s">
        <v>15</v>
      </c>
      <c r="C23" s="36">
        <f>E23+G23+I23+K23</f>
        <v>56.5</v>
      </c>
      <c r="D23" s="19"/>
      <c r="E23" s="19">
        <f>SUM(E13:E22)</f>
        <v>40</v>
      </c>
      <c r="F23" s="19"/>
      <c r="G23" s="19">
        <f>SUM(G13:G22)</f>
        <v>15</v>
      </c>
      <c r="H23" s="19"/>
      <c r="I23" s="19">
        <f>SUM(I13:I22)</f>
        <v>1.5</v>
      </c>
      <c r="J23" s="19"/>
      <c r="K23" s="19">
        <f>SUM(K13:K22)</f>
        <v>0</v>
      </c>
    </row>
    <row r="24" spans="1:11" ht="15.75" customHeight="1" outlineLevel="1">
      <c r="A24" s="68"/>
      <c r="B24" s="35" t="s">
        <v>16</v>
      </c>
      <c r="C24" s="20">
        <f>VLOOKUP(C23,ESCALA_IEP!A2:B142,2,FALSE)</f>
        <v>5.6</v>
      </c>
    </row>
    <row r="25" spans="1:11" ht="15.75" customHeight="1"/>
    <row r="26" spans="1:11" ht="15.75" customHeight="1"/>
    <row r="27" spans="1:11" ht="15.75" customHeight="1">
      <c r="A27" s="52" t="s">
        <v>17</v>
      </c>
      <c r="B27" s="48" t="s">
        <v>18</v>
      </c>
      <c r="C27" s="50" t="str">
        <f>$B$4</f>
        <v>DELGADO ESCOBAR JOSE</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19</v>
      </c>
      <c r="C29" s="49" t="s">
        <v>7</v>
      </c>
      <c r="D29" s="51" t="s">
        <v>8</v>
      </c>
      <c r="E29" s="69"/>
      <c r="F29" s="69"/>
      <c r="G29" s="69"/>
      <c r="H29" s="69"/>
      <c r="I29" s="69"/>
      <c r="J29" s="69"/>
      <c r="K29" s="70"/>
    </row>
    <row r="30" spans="1:11" ht="15.75" customHeight="1">
      <c r="A30" s="71"/>
      <c r="B30" s="15" t="s">
        <v>9</v>
      </c>
      <c r="C30" s="68"/>
      <c r="D30" s="51" t="s">
        <v>10</v>
      </c>
      <c r="E30" s="70"/>
      <c r="F30" s="51" t="s">
        <v>11</v>
      </c>
      <c r="G30" s="70"/>
      <c r="H30" s="51" t="s">
        <v>20</v>
      </c>
      <c r="I30" s="70"/>
      <c r="J30" s="51" t="s">
        <v>13</v>
      </c>
      <c r="K30" s="70"/>
    </row>
    <row r="31" spans="1:11" ht="24.6" customHeight="1">
      <c r="A31" s="71"/>
      <c r="B31" s="34" t="str">
        <f>RUBRICA!A7</f>
        <v>3. Relaciona el Proyecto APT con sus intereses profesionales. *</v>
      </c>
      <c r="C31" s="32" t="s">
        <v>10</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1"/>
      <c r="B32" s="34" t="str">
        <f>RUBRICA!A15</f>
        <v>11. Expone el tema utilizando un lenguaje técnico disciplinar al presentar la propuesta y responde evidenciando un manejo de la información. *</v>
      </c>
      <c r="C32" s="32" t="s">
        <v>11</v>
      </c>
      <c r="D32" s="16" t="str">
        <f t="shared" si="25"/>
        <v/>
      </c>
      <c r="E32" s="16" t="str">
        <f>IF(D32="X",100*0.1,"")</f>
        <v/>
      </c>
      <c r="F32" s="16" t="str">
        <f t="shared" si="26"/>
        <v>X</v>
      </c>
      <c r="G32" s="16">
        <f>IF(F32="X",60*0.1,"")</f>
        <v>6</v>
      </c>
      <c r="H32" s="16" t="str">
        <f t="shared" si="27"/>
        <v/>
      </c>
      <c r="I32" s="16" t="str">
        <f>IF(H32="X",30*0.1,"")</f>
        <v/>
      </c>
      <c r="J32" s="16" t="str">
        <f t="shared" si="28"/>
        <v/>
      </c>
      <c r="K32" s="16" t="str">
        <f t="shared" si="29"/>
        <v/>
      </c>
    </row>
    <row r="33" spans="1:11">
      <c r="A33" s="71"/>
      <c r="B33" s="34" t="str">
        <f>RUBRICA!A17</f>
        <v>13. Colaboración y trabajo en equipo *</v>
      </c>
      <c r="C33" s="32"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21</v>
      </c>
      <c r="C34" s="18">
        <f>E34+G34+I34+K34</f>
        <v>26</v>
      </c>
      <c r="D34" s="19"/>
      <c r="E34" s="19">
        <f>SUM(E31:E33)</f>
        <v>20</v>
      </c>
      <c r="F34" s="19"/>
      <c r="G34" s="19">
        <f t="shared" ref="G34:K34" si="30">SUM(G31:G33)</f>
        <v>6</v>
      </c>
      <c r="H34" s="19"/>
      <c r="I34" s="19">
        <f t="shared" si="30"/>
        <v>0</v>
      </c>
      <c r="J34" s="19"/>
      <c r="K34" s="19">
        <f t="shared" si="30"/>
        <v>0</v>
      </c>
    </row>
    <row r="35" spans="1:11" ht="15.75" customHeight="1">
      <c r="A35" s="68"/>
      <c r="B35" s="17" t="s">
        <v>16</v>
      </c>
      <c r="C35" s="20">
        <f>VLOOKUP(C34,ESCALA_TRAB_EQUIP!A2:B62,2,FALSE)</f>
        <v>6</v>
      </c>
    </row>
    <row r="36" spans="1:11" ht="15.75" customHeight="1">
      <c r="B36" s="22"/>
      <c r="C36" s="23"/>
    </row>
    <row r="37" spans="1:11" ht="15.75" customHeight="1">
      <c r="B37" s="22"/>
      <c r="C37" s="23"/>
    </row>
    <row r="38" spans="1:11" ht="15.75" customHeight="1"/>
    <row r="39" spans="1:11" ht="15.75" customHeight="1">
      <c r="A39" s="52" t="s">
        <v>17</v>
      </c>
      <c r="B39" s="48" t="s">
        <v>18</v>
      </c>
      <c r="C39" s="50" t="str">
        <f>B5</f>
        <v>DAILLE ALVAREZ DIEGO</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19</v>
      </c>
      <c r="C41" s="49" t="s">
        <v>7</v>
      </c>
      <c r="D41" s="51" t="s">
        <v>8</v>
      </c>
      <c r="E41" s="69"/>
      <c r="F41" s="69"/>
      <c r="G41" s="69"/>
      <c r="H41" s="69"/>
      <c r="I41" s="69"/>
      <c r="J41" s="69"/>
      <c r="K41" s="70"/>
    </row>
    <row r="42" spans="1:11" ht="15.75" customHeight="1">
      <c r="A42" s="71"/>
      <c r="B42" s="15" t="s">
        <v>9</v>
      </c>
      <c r="C42" s="68"/>
      <c r="D42" s="51" t="s">
        <v>10</v>
      </c>
      <c r="E42" s="70"/>
      <c r="F42" s="51" t="s">
        <v>11</v>
      </c>
      <c r="G42" s="70"/>
      <c r="H42" s="51" t="s">
        <v>20</v>
      </c>
      <c r="I42" s="70"/>
      <c r="J42" s="51" t="s">
        <v>13</v>
      </c>
      <c r="K42" s="70"/>
    </row>
    <row r="43" spans="1:11" ht="25.9" customHeight="1">
      <c r="A43" s="71"/>
      <c r="B43" s="34" t="str">
        <f>RUBRICA!A7</f>
        <v>3. Relaciona el Proyecto APT con sus intereses profesionales. *</v>
      </c>
      <c r="C43" s="32" t="s">
        <v>10</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1"/>
      <c r="B44" s="34" t="str">
        <f>RUBRICA!A15</f>
        <v>11. Expone el tema utilizando un lenguaje técnico disciplinar al presentar la propuesta y responde evidenciando un manejo de la información. *</v>
      </c>
      <c r="C44" s="32" t="s">
        <v>10</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1"/>
      <c r="B45" s="34" t="str">
        <f>RUBRICA!A17</f>
        <v>13. Colaboración y trabajo en equipo *</v>
      </c>
      <c r="C45" s="32"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21</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c r="A47" s="68"/>
      <c r="B47" s="17" t="s">
        <v>16</v>
      </c>
      <c r="C47" s="20">
        <f>VLOOKUP(C46,ESCALA_TRAB_EQUIP!A2:B62,2,FALSE)</f>
        <v>7</v>
      </c>
    </row>
    <row r="48" spans="1:11" ht="15.75" customHeight="1">
      <c r="B48" s="22"/>
      <c r="C48" s="23"/>
    </row>
    <row r="49" spans="1:11" ht="15.75" customHeight="1">
      <c r="B49" s="22"/>
      <c r="C49" s="23"/>
    </row>
    <row r="50" spans="1:11" ht="15.75" customHeight="1">
      <c r="A50" s="52" t="s">
        <v>17</v>
      </c>
      <c r="B50" s="48" t="s">
        <v>18</v>
      </c>
      <c r="C50" s="50" t="str">
        <f>B6</f>
        <v>MAULEN LOYOLA ALBERTO JESUS</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19</v>
      </c>
      <c r="C52" s="49" t="s">
        <v>7</v>
      </c>
      <c r="D52" s="51" t="s">
        <v>8</v>
      </c>
      <c r="E52" s="69"/>
      <c r="F52" s="69"/>
      <c r="G52" s="69"/>
      <c r="H52" s="69"/>
      <c r="I52" s="69"/>
      <c r="J52" s="69"/>
      <c r="K52" s="70"/>
    </row>
    <row r="53" spans="1:11" ht="15.75" customHeight="1">
      <c r="A53" s="71"/>
      <c r="B53" s="15" t="s">
        <v>9</v>
      </c>
      <c r="C53" s="68"/>
      <c r="D53" s="51" t="s">
        <v>10</v>
      </c>
      <c r="E53" s="70"/>
      <c r="F53" s="51" t="s">
        <v>11</v>
      </c>
      <c r="G53" s="70"/>
      <c r="H53" s="51" t="s">
        <v>20</v>
      </c>
      <c r="I53" s="70"/>
      <c r="J53" s="51" t="s">
        <v>13</v>
      </c>
      <c r="K53" s="70"/>
    </row>
    <row r="54" spans="1:11" ht="25.9" customHeight="1">
      <c r="A54" s="71"/>
      <c r="B54" s="34" t="str">
        <f>RUBRICA!A7</f>
        <v>3. Relaciona el Proyecto APT con sus intereses profesionales. *</v>
      </c>
      <c r="C54" s="32" t="s">
        <v>10</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1"/>
      <c r="B55" s="34" t="str">
        <f>RUBRICA!A15</f>
        <v>11. Expone el tema utilizando un lenguaje técnico disciplinar al presentar la propuesta y responde evidenciando un manejo de la información. *</v>
      </c>
      <c r="C55" s="32" t="s">
        <v>11</v>
      </c>
      <c r="D55" s="16" t="str">
        <f t="shared" si="39"/>
        <v/>
      </c>
      <c r="E55" s="16" t="str">
        <f>IF(D55="X",100*0.1,"")</f>
        <v/>
      </c>
      <c r="F55" s="16" t="str">
        <f t="shared" si="40"/>
        <v>X</v>
      </c>
      <c r="G55" s="16">
        <f>IF(F55="X",60*0.1,"")</f>
        <v>6</v>
      </c>
      <c r="H55" s="16" t="str">
        <f t="shared" si="41"/>
        <v/>
      </c>
      <c r="I55" s="16" t="str">
        <f>IF(H55="X",30*0.1,"")</f>
        <v/>
      </c>
      <c r="J55" s="16" t="str">
        <f t="shared" si="42"/>
        <v/>
      </c>
      <c r="K55" s="16" t="str">
        <f t="shared" si="43"/>
        <v/>
      </c>
    </row>
    <row r="56" spans="1:11" ht="15.75" customHeight="1">
      <c r="A56" s="71"/>
      <c r="B56" s="34" t="str">
        <f>RUBRICA!A17</f>
        <v>13. Colaboración y trabajo en equipo *</v>
      </c>
      <c r="C56" s="32"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21</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c r="A58" s="68"/>
      <c r="B58" s="17" t="s">
        <v>16</v>
      </c>
      <c r="C58" s="20">
        <f>VLOOKUP(C57,ESCALA_TRAB_EQUIP!A2:B62,2,FALSE)</f>
        <v>6</v>
      </c>
    </row>
    <row r="59" spans="1:11" ht="15.75" customHeight="1">
      <c r="B59" s="22"/>
      <c r="C59" s="23"/>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8" t="s">
        <v>22</v>
      </c>
      <c r="B2" s="61" t="s">
        <v>23</v>
      </c>
      <c r="C2" s="62"/>
      <c r="D2" s="62"/>
      <c r="E2" s="63"/>
      <c r="F2" s="58" t="s">
        <v>24</v>
      </c>
    </row>
    <row r="3" spans="1:6">
      <c r="A3" s="59"/>
      <c r="B3" s="64" t="s">
        <v>25</v>
      </c>
      <c r="C3" s="64" t="s">
        <v>26</v>
      </c>
      <c r="D3" s="25" t="s">
        <v>27</v>
      </c>
      <c r="E3" s="27" t="s">
        <v>13</v>
      </c>
      <c r="F3" s="59"/>
    </row>
    <row r="4" spans="1:6" ht="57.6" customHeight="1" thickBot="1">
      <c r="A4" s="60"/>
      <c r="B4" s="65"/>
      <c r="C4" s="65"/>
      <c r="D4" s="26">
        <v>-0.3</v>
      </c>
      <c r="E4" s="26">
        <v>0</v>
      </c>
      <c r="F4" s="60"/>
    </row>
    <row r="5" spans="1:6" ht="77.25" thickBot="1">
      <c r="A5" s="37" t="s">
        <v>28</v>
      </c>
      <c r="B5" s="38" t="s">
        <v>29</v>
      </c>
      <c r="C5" s="38" t="s">
        <v>30</v>
      </c>
      <c r="D5" s="38" t="s">
        <v>31</v>
      </c>
      <c r="E5" s="38" t="s">
        <v>32</v>
      </c>
      <c r="F5" s="28">
        <v>10</v>
      </c>
    </row>
    <row r="6" spans="1:6" ht="77.25" thickBot="1">
      <c r="A6" s="44" t="s">
        <v>33</v>
      </c>
      <c r="B6" s="44" t="s">
        <v>34</v>
      </c>
      <c r="C6" s="44" t="s">
        <v>35</v>
      </c>
      <c r="D6" s="44" t="s">
        <v>36</v>
      </c>
      <c r="E6" s="45" t="s">
        <v>37</v>
      </c>
      <c r="F6" s="30">
        <v>5</v>
      </c>
    </row>
    <row r="7" spans="1:6" ht="94.9" customHeight="1" thickBot="1">
      <c r="A7" s="41" t="s">
        <v>38</v>
      </c>
      <c r="B7" s="41" t="s">
        <v>39</v>
      </c>
      <c r="C7" s="41" t="s">
        <v>40</v>
      </c>
      <c r="D7" s="41" t="s">
        <v>41</v>
      </c>
      <c r="E7" s="41" t="s">
        <v>42</v>
      </c>
      <c r="F7" s="31">
        <v>10</v>
      </c>
    </row>
    <row r="8" spans="1:6" ht="76.5">
      <c r="A8" s="41" t="s">
        <v>43</v>
      </c>
      <c r="B8" s="41" t="s">
        <v>44</v>
      </c>
      <c r="C8" s="41" t="s">
        <v>45</v>
      </c>
      <c r="D8" s="41" t="s">
        <v>46</v>
      </c>
      <c r="E8" s="41" t="s">
        <v>47</v>
      </c>
      <c r="F8" s="31">
        <v>5</v>
      </c>
    </row>
    <row r="9" spans="1:6" ht="65.45" customHeight="1" thickBot="1">
      <c r="A9" s="37" t="s">
        <v>48</v>
      </c>
      <c r="B9" s="38" t="s">
        <v>49</v>
      </c>
      <c r="C9" s="38" t="s">
        <v>50</v>
      </c>
      <c r="D9" s="38" t="s">
        <v>51</v>
      </c>
      <c r="E9" s="38" t="s">
        <v>52</v>
      </c>
      <c r="F9" s="28">
        <v>5</v>
      </c>
    </row>
    <row r="10" spans="1:6" ht="64.5" thickBot="1">
      <c r="A10" s="37" t="s">
        <v>53</v>
      </c>
      <c r="B10" s="38" t="s">
        <v>54</v>
      </c>
      <c r="C10" s="38" t="s">
        <v>55</v>
      </c>
      <c r="D10" s="38" t="s">
        <v>56</v>
      </c>
      <c r="E10" s="38" t="s">
        <v>57</v>
      </c>
      <c r="F10" s="28">
        <v>10</v>
      </c>
    </row>
    <row r="11" spans="1:6" ht="76.5">
      <c r="A11" s="44" t="s">
        <v>58</v>
      </c>
      <c r="B11" s="44" t="s">
        <v>59</v>
      </c>
      <c r="C11" s="44" t="s">
        <v>60</v>
      </c>
      <c r="D11" s="44" t="s">
        <v>61</v>
      </c>
      <c r="E11" s="44" t="s">
        <v>62</v>
      </c>
      <c r="F11" s="30">
        <v>10</v>
      </c>
    </row>
    <row r="12" spans="1:6" ht="51">
      <c r="A12" s="46" t="s">
        <v>63</v>
      </c>
      <c r="B12" s="45" t="s">
        <v>64</v>
      </c>
      <c r="C12" s="45" t="s">
        <v>65</v>
      </c>
      <c r="D12" s="45" t="s">
        <v>66</v>
      </c>
      <c r="E12" s="45" t="s">
        <v>67</v>
      </c>
      <c r="F12" s="39">
        <v>5</v>
      </c>
    </row>
    <row r="13" spans="1:6" ht="94.15" customHeight="1">
      <c r="A13" s="41" t="s">
        <v>68</v>
      </c>
      <c r="B13" s="41" t="s">
        <v>69</v>
      </c>
      <c r="C13" s="41" t="s">
        <v>70</v>
      </c>
      <c r="D13" s="41" t="s">
        <v>71</v>
      </c>
      <c r="E13" s="41" t="s">
        <v>72</v>
      </c>
      <c r="F13" s="40">
        <v>5</v>
      </c>
    </row>
    <row r="14" spans="1:6" ht="63.75">
      <c r="A14" s="41" t="s">
        <v>73</v>
      </c>
      <c r="B14" s="41" t="s">
        <v>74</v>
      </c>
      <c r="C14" s="41" t="s">
        <v>75</v>
      </c>
      <c r="D14" s="41" t="s">
        <v>76</v>
      </c>
      <c r="E14" s="41" t="s">
        <v>77</v>
      </c>
      <c r="F14" s="40">
        <v>5</v>
      </c>
    </row>
    <row r="15" spans="1:6" ht="64.5" thickBot="1">
      <c r="A15" s="37" t="s">
        <v>78</v>
      </c>
      <c r="B15" s="38" t="s">
        <v>79</v>
      </c>
      <c r="C15" s="38" t="s">
        <v>80</v>
      </c>
      <c r="D15" s="38" t="s">
        <v>81</v>
      </c>
      <c r="E15" s="38" t="s">
        <v>82</v>
      </c>
      <c r="F15" s="28">
        <v>10</v>
      </c>
    </row>
    <row r="16" spans="1:6" ht="77.25" thickBot="1">
      <c r="A16" s="37" t="s">
        <v>83</v>
      </c>
      <c r="B16" s="38" t="s">
        <v>84</v>
      </c>
      <c r="C16" s="38" t="s">
        <v>85</v>
      </c>
      <c r="D16" s="38" t="s">
        <v>86</v>
      </c>
      <c r="E16" s="38" t="s">
        <v>87</v>
      </c>
      <c r="F16" s="28">
        <v>10</v>
      </c>
    </row>
    <row r="17" spans="1:6" ht="90" thickBot="1">
      <c r="A17" s="37" t="s">
        <v>88</v>
      </c>
      <c r="B17" s="38" t="s">
        <v>89</v>
      </c>
      <c r="C17" s="38" t="s">
        <v>90</v>
      </c>
      <c r="D17" s="38" t="s">
        <v>91</v>
      </c>
      <c r="E17" s="38" t="s">
        <v>92</v>
      </c>
      <c r="F17" s="28">
        <v>10</v>
      </c>
    </row>
    <row r="18" spans="1:6" ht="15.75" thickBot="1">
      <c r="A18" s="55" t="s">
        <v>93</v>
      </c>
      <c r="B18" s="56"/>
      <c r="C18" s="56"/>
      <c r="D18" s="56"/>
      <c r="E18" s="5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15</v>
      </c>
      <c r="B1" t="s">
        <v>16</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94</v>
      </c>
      <c r="B1" t="s">
        <v>95</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15</v>
      </c>
      <c r="B1" t="s">
        <v>16</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6" t="s">
        <v>96</v>
      </c>
      <c r="B1" s="7" t="s">
        <v>15</v>
      </c>
      <c r="C1" s="8"/>
      <c r="D1" s="8"/>
      <c r="E1" s="9"/>
    </row>
    <row r="2" spans="1:5" ht="45.75" thickBot="1">
      <c r="A2" s="78"/>
      <c r="B2" s="10" t="s">
        <v>10</v>
      </c>
      <c r="C2" s="11" t="s">
        <v>11</v>
      </c>
      <c r="D2" s="11" t="s">
        <v>14</v>
      </c>
      <c r="E2" s="47" t="s">
        <v>13</v>
      </c>
    </row>
    <row r="3" spans="1:5" ht="30.75" thickBot="1">
      <c r="A3" s="12" t="s">
        <v>97</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2026-09-09T17:31:14Z</dcterms:modified>
  <cp:category/>
  <cp:contentStatus/>
</cp:coreProperties>
</file>