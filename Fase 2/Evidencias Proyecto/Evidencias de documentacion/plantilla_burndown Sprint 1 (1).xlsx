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4"/>
  </sheets>
  <definedNames/>
  <calcPr/>
  <extLst>
    <ext uri="GoogleSheetsCustomDataVersion2">
      <go:sheetsCustomData xmlns:go="http://customooxmlschemas.google.com/" r:id="rId5" roundtripDataChecksum="AOLeXLoibSTymr9fUnOtVKkPe7H2Wa87eDZhvz/vAcg="/>
    </ext>
  </extLst>
</workbook>
</file>

<file path=xl/sharedStrings.xml><?xml version="1.0" encoding="utf-8"?>
<sst xmlns="http://schemas.openxmlformats.org/spreadsheetml/2006/main" count="12" uniqueCount="12">
  <si>
    <t>Control del Sprint 1</t>
  </si>
  <si>
    <t>Flora</t>
  </si>
  <si>
    <t>Historias de Usuario o Spike</t>
  </si>
  <si>
    <t>horas estimadas</t>
  </si>
  <si>
    <t>DIA</t>
  </si>
  <si>
    <t>Total</t>
  </si>
  <si>
    <t>HU-FLOR-001: Arquitectura Base y Especificación API</t>
  </si>
  <si>
    <t>HU-FLOR-002: Especificación y Product Backlog</t>
  </si>
  <si>
    <t>HU-FLOR-003: Contrato de API RESTful</t>
  </si>
  <si>
    <t>HU-FLOR-004: Mascota Virtual y Rachas</t>
  </si>
  <si>
    <t>Reales de producto por realizar</t>
  </si>
  <si>
    <t>Estimadas de producto por realizar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</si>
</sst>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6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1" fillId="0" fontId="3" numFmtId="0" xfId="0" applyBorder="1" applyFont="1"/>
    <xf borderId="6" fillId="2" fontId="3" numFmtId="0" xfId="0" applyAlignment="1" applyBorder="1" applyFill="1" applyFont="1">
      <alignment horizontal="left" readingOrder="0" shrinkToFit="0" wrapText="1"/>
    </xf>
    <xf borderId="7" fillId="2" fontId="3" numFmtId="0" xfId="0" applyAlignment="1" applyBorder="1" applyFill="1" applyFont="1">
      <alignment horizontal="center" readingOrder="0" shrinkToFit="0" wrapText="1"/>
    </xf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2" fillId="0" fontId="3" numFmtId="0" xfId="0" applyAlignment="1" applyBorder="1" applyFont="1">
      <alignment horizontal="center" readingOrder="0" shrinkToFit="0" wrapText="1"/>
    </xf>
    <xf borderId="10" fillId="0" fontId="3" numFmtId="0" xfId="0" applyBorder="1" applyFont="1"/>
    <xf borderId="0" fillId="0" fontId="2" numFmtId="0" xfId="0" applyAlignment="1" applyFont="1">
      <alignment readingOrder="0"/>
    </xf>
    <xf borderId="11" fillId="0" fontId="3" numFmtId="0" xfId="0" applyBorder="1" applyFont="1"/>
    <xf borderId="12" fillId="2" fontId="3" numFmtId="0" xfId="0" applyAlignment="1" applyBorder="1" applyFill="1" applyFont="1">
      <alignment readingOrder="0" shrinkToFit="0" wrapText="1"/>
    </xf>
    <xf borderId="13" fillId="2" fontId="3" numFmtId="0" xfId="0" applyAlignment="1" applyBorder="1" applyFill="1" applyFont="1">
      <alignment horizontal="center" readingOrder="0" shrinkToFit="0" wrapText="1"/>
    </xf>
    <xf borderId="14" fillId="0" fontId="3" numFmtId="0" xfId="0" applyAlignment="1" applyBorder="1" applyFont="1">
      <alignment readingOrder="0" shrinkToFit="0" wrapText="1"/>
    </xf>
    <xf borderId="15" fillId="0" fontId="3" numFmtId="0" xfId="0" applyBorder="1" applyFont="1"/>
    <xf borderId="16" fillId="0" fontId="2" numFmtId="0" xfId="0" applyBorder="1" applyFont="1"/>
    <xf borderId="16" fillId="0" fontId="2" numFmtId="0" xfId="0" applyAlignment="1" applyBorder="1" applyFont="1">
      <alignment readingOrder="0"/>
    </xf>
    <xf borderId="5" fillId="0" fontId="3" numFmtId="0" xfId="0" applyBorder="1" applyFont="1"/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2000">
                <a:solidFill>
                  <a:srgbClr val="757575"/>
                </a:solidFill>
                <a:latin typeface="Calibri"/>
              </a:defRPr>
            </a:pPr>
            <a:r>
              <a:rPr b="0" i="0" sz="2000">
                <a:solidFill>
                  <a:srgbClr val="757575"/>
                </a:solidFill>
                <a:latin typeface="Calibri"/>
              </a:rPr>
              <a:t>BurnDown Trabajo Pendiente</a:t>
            </a:r>
          </a:p>
        </c:rich>
      </c:tx>
      <c:overlay val="0"/>
    </c:title>
    <c:plotArea>
      <c:layout/>
      <c:lineChart>
        <c:ser>
          <c:idx val="0"/>
          <c:order val="0"/>
          <c:tx>
            <c:v>Reales de producto por realizar</c:v>
          </c:tx>
          <c:spPr>
            <a:ln cmpd="sng" w="38100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1'!$B$10:$V$10</c:f>
              <c:numCache/>
            </c:numRef>
          </c:val>
          <c:smooth val="0"/>
        </c:ser>
        <c:ser>
          <c:idx val="1"/>
          <c:order val="1"/>
          <c:tx>
            <c:v>Estimadas de producto por realizar</c:v>
          </c:tx>
          <c:spPr>
            <a:ln cmpd="sng" w="38100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'Sprint 1'!$C$4:$V$4</c:f>
            </c:strRef>
          </c:cat>
          <c:val>
            <c:numRef>
              <c:f>'Sprint 1'!$B$12:$V$12</c:f>
              <c:numCache/>
            </c:numRef>
          </c:val>
          <c:smooth val="0"/>
        </c:ser>
        <c:axId val="2014493533"/>
        <c:axId val="87265082"/>
      </c:lineChart>
      <c:catAx>
        <c:axId val="20144935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DIA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7265082"/>
      </c:catAx>
      <c:valAx>
        <c:axId val="872650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14493533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23</xdr:col>
      <xdr:colOff>161925</xdr:colOff>
      <xdr:row>1</xdr:row>
      <xdr:rowOff>142875</xdr:rowOff>
    </xdr:from>
    <xdr:ext cx="3524250" cy="2933700"/>
    <xdr:graphicFrame>
      <xdr:nvGraphicFramePr>
        <xdr:cNvPr id="191335844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43"/>
    <col customWidth="1" min="2" max="2" width="17.0"/>
    <col customWidth="1" min="3" max="3" width="15.14"/>
    <col customWidth="1" min="4" max="4" width="10.86"/>
    <col customWidth="1" min="5" max="6" width="6.86"/>
    <col customWidth="1" min="7" max="7" width="9.29"/>
    <col customWidth="1" min="8" max="8" width="5.86"/>
    <col customWidth="1" min="9" max="9" width="10.29"/>
    <col customWidth="1" min="10" max="10" width="7.0"/>
    <col customWidth="1" min="11" max="11" width="5.86"/>
    <col customWidth="1" min="12" max="12" width="5.29"/>
    <col customWidth="1" min="13" max="13" width="7.29"/>
    <col customWidth="1" min="14" max="14" width="4.43"/>
    <col customWidth="1" min="15" max="15" width="4.57"/>
    <col customWidth="1" min="16" max="16" width="5.43"/>
    <col customWidth="1" min="17" max="17" width="3.43"/>
    <col customWidth="1" min="18" max="18" width="4.71"/>
    <col customWidth="1" min="19" max="19" width="8.14"/>
    <col customWidth="1" min="20" max="20" width="4.14"/>
    <col customWidth="1" min="21" max="22" width="3.43"/>
    <col customWidth="1" min="23" max="23" width="18.14"/>
    <col customWidth="1" min="24" max="29" width="10.71"/>
  </cols>
  <sheetData>
    <row r="1" ht="14.25" customHeight="1">
      <c r="A1" s="1" t="s">
        <v>0</v>
      </c>
      <c r="B1" s="2" t="s">
        <v>1</v>
      </c>
    </row>
    <row r="2" ht="14.25" customHeight="1"/>
    <row r="3" ht="14.25" customHeight="1">
      <c r="A3" s="3" t="s">
        <v>2</v>
      </c>
      <c r="B3" s="3" t="s">
        <v>3</v>
      </c>
      <c r="C3" s="4" t="s">
        <v>4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3" t="s">
        <v>5</v>
      </c>
    </row>
    <row r="4" ht="14.25" customHeight="1">
      <c r="A4" s="7"/>
      <c r="B4" s="7"/>
      <c r="C4" s="8">
        <v>1.0</v>
      </c>
      <c r="D4" s="8">
        <v>2.0</v>
      </c>
      <c r="E4" s="8">
        <v>3.0</v>
      </c>
      <c r="F4" s="8">
        <v>4.0</v>
      </c>
      <c r="G4" s="8">
        <v>5.0</v>
      </c>
      <c r="H4" s="8">
        <v>6.0</v>
      </c>
      <c r="I4" s="8">
        <v>7.0</v>
      </c>
      <c r="J4" s="8">
        <v>8.0</v>
      </c>
      <c r="K4" s="8">
        <v>9.0</v>
      </c>
      <c r="L4" s="8">
        <v>10.0</v>
      </c>
      <c r="M4" s="8">
        <v>11.0</v>
      </c>
      <c r="N4" s="8">
        <v>12.0</v>
      </c>
      <c r="O4" s="8">
        <v>13.0</v>
      </c>
      <c r="P4" s="8">
        <v>14.0</v>
      </c>
      <c r="Q4" s="8">
        <v>15.0</v>
      </c>
      <c r="R4" s="8">
        <v>16.0</v>
      </c>
      <c r="S4" s="8">
        <v>17.0</v>
      </c>
      <c r="T4" s="8">
        <v>18.0</v>
      </c>
      <c r="U4" s="8">
        <v>19.0</v>
      </c>
      <c r="V4" s="8">
        <v>20.0</v>
      </c>
      <c r="W4" s="7"/>
    </row>
    <row r="5" ht="14.25" customHeight="1">
      <c r="A5" s="9" t="s">
        <v>6</v>
      </c>
      <c r="B5" s="10">
        <v>8.0</v>
      </c>
      <c r="C5" s="11">
        <v>2.0</v>
      </c>
      <c r="D5" s="12">
        <v>2.0</v>
      </c>
      <c r="E5" s="12">
        <v>2.0</v>
      </c>
      <c r="F5" s="12">
        <v>2.0</v>
      </c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8">
        <f t="shared" ref="W5:W8" si="1">SUM(C5:V5)</f>
        <v>8</v>
      </c>
    </row>
    <row r="6" ht="14.25" customHeight="1">
      <c r="A6" s="9" t="s">
        <v>7</v>
      </c>
      <c r="B6" s="14">
        <v>8.0</v>
      </c>
      <c r="C6" s="15"/>
      <c r="F6" s="16">
        <v>2.0</v>
      </c>
      <c r="G6" s="2">
        <v>2.0</v>
      </c>
      <c r="H6" s="2">
        <v>2.0</v>
      </c>
      <c r="I6" s="16">
        <v>2.0</v>
      </c>
      <c r="W6" s="17">
        <f t="shared" si="1"/>
        <v>8</v>
      </c>
    </row>
    <row r="7" ht="14.25" customHeight="1">
      <c r="A7" s="18" t="s">
        <v>8</v>
      </c>
      <c r="B7" s="19">
        <v>16.0</v>
      </c>
      <c r="C7" s="15"/>
      <c r="H7" s="16">
        <v>2.0</v>
      </c>
      <c r="I7" s="2">
        <v>3.0</v>
      </c>
      <c r="J7" s="16">
        <v>3.0</v>
      </c>
      <c r="K7" s="16">
        <v>3.0</v>
      </c>
      <c r="L7" s="16">
        <v>3.0</v>
      </c>
      <c r="M7" s="16">
        <v>2.0</v>
      </c>
      <c r="W7" s="17">
        <f t="shared" si="1"/>
        <v>16</v>
      </c>
    </row>
    <row r="8" ht="14.25" customHeight="1">
      <c r="A8" s="20" t="s">
        <v>9</v>
      </c>
      <c r="B8" s="14">
        <v>16.0</v>
      </c>
      <c r="C8" s="21"/>
      <c r="D8" s="22"/>
      <c r="E8" s="22"/>
      <c r="F8" s="22"/>
      <c r="G8" s="22"/>
      <c r="H8" s="22"/>
      <c r="I8" s="22"/>
      <c r="J8" s="22"/>
      <c r="K8" s="22"/>
      <c r="L8" s="23">
        <v>3.0</v>
      </c>
      <c r="M8" s="23">
        <v>3.0</v>
      </c>
      <c r="N8" s="23">
        <v>3.0</v>
      </c>
      <c r="O8" s="23">
        <v>3.0</v>
      </c>
      <c r="P8" s="23">
        <v>4.0</v>
      </c>
      <c r="Q8" s="22"/>
      <c r="R8" s="22"/>
      <c r="S8" s="22"/>
      <c r="T8" s="22"/>
      <c r="U8" s="22"/>
      <c r="V8" s="22"/>
      <c r="W8" s="24">
        <f t="shared" si="1"/>
        <v>16</v>
      </c>
    </row>
    <row r="9" ht="14.25" customHeight="1"/>
    <row r="10" ht="14.25" customHeight="1">
      <c r="A10" s="25" t="s">
        <v>10</v>
      </c>
      <c r="B10" s="2">
        <f>SUM(B5:B9)</f>
        <v>48</v>
      </c>
      <c r="C10" s="2">
        <f t="shared" ref="C10:V10" si="2">B10-SUM(C5:C8)</f>
        <v>46</v>
      </c>
      <c r="D10" s="2">
        <f t="shared" si="2"/>
        <v>44</v>
      </c>
      <c r="E10" s="2">
        <f t="shared" si="2"/>
        <v>42</v>
      </c>
      <c r="F10" s="2">
        <f t="shared" si="2"/>
        <v>38</v>
      </c>
      <c r="G10" s="2">
        <f t="shared" si="2"/>
        <v>36</v>
      </c>
      <c r="H10" s="2">
        <f t="shared" si="2"/>
        <v>32</v>
      </c>
      <c r="I10" s="2">
        <f t="shared" si="2"/>
        <v>27</v>
      </c>
      <c r="J10" s="2">
        <f t="shared" si="2"/>
        <v>24</v>
      </c>
      <c r="K10" s="2">
        <f t="shared" si="2"/>
        <v>21</v>
      </c>
      <c r="L10" s="2">
        <f t="shared" si="2"/>
        <v>15</v>
      </c>
      <c r="M10" s="2">
        <f t="shared" si="2"/>
        <v>10</v>
      </c>
      <c r="N10" s="2">
        <f t="shared" si="2"/>
        <v>7</v>
      </c>
      <c r="O10" s="2">
        <f t="shared" si="2"/>
        <v>4</v>
      </c>
      <c r="P10" s="2">
        <f t="shared" si="2"/>
        <v>0</v>
      </c>
      <c r="Q10" s="2">
        <f t="shared" si="2"/>
        <v>0</v>
      </c>
      <c r="R10" s="2">
        <f t="shared" si="2"/>
        <v>0</v>
      </c>
      <c r="S10" s="2">
        <f t="shared" si="2"/>
        <v>0</v>
      </c>
      <c r="T10" s="2">
        <f t="shared" si="2"/>
        <v>0</v>
      </c>
      <c r="U10" s="2">
        <f t="shared" si="2"/>
        <v>0</v>
      </c>
      <c r="V10" s="2">
        <f t="shared" si="2"/>
        <v>0</v>
      </c>
    </row>
    <row r="11" ht="14.25" customHeight="1"/>
    <row r="12" ht="14.25" customHeight="1">
      <c r="A12" s="25" t="s">
        <v>11</v>
      </c>
      <c r="B12" s="2">
        <f>SUM(B5:B8)</f>
        <v>48</v>
      </c>
      <c r="C12" s="2">
        <f t="shared" ref="C12:V12" si="3">B12-(SUM($B$5:$B$8)/20)</f>
        <v>45.6</v>
      </c>
      <c r="D12" s="2">
        <f t="shared" si="3"/>
        <v>43.2</v>
      </c>
      <c r="E12" s="2">
        <f t="shared" si="3"/>
        <v>40.8</v>
      </c>
      <c r="F12" s="2">
        <f t="shared" si="3"/>
        <v>38.4</v>
      </c>
      <c r="G12" s="2">
        <f t="shared" si="3"/>
        <v>36</v>
      </c>
      <c r="H12" s="2">
        <f t="shared" si="3"/>
        <v>33.6</v>
      </c>
      <c r="I12" s="2">
        <f t="shared" si="3"/>
        <v>31.2</v>
      </c>
      <c r="J12" s="2">
        <f t="shared" si="3"/>
        <v>28.8</v>
      </c>
      <c r="K12" s="2">
        <f t="shared" si="3"/>
        <v>26.4</v>
      </c>
      <c r="L12" s="2">
        <f t="shared" si="3"/>
        <v>24</v>
      </c>
      <c r="M12" s="2">
        <f t="shared" si="3"/>
        <v>21.6</v>
      </c>
      <c r="N12" s="2">
        <f t="shared" si="3"/>
        <v>19.2</v>
      </c>
      <c r="O12" s="2">
        <f t="shared" si="3"/>
        <v>16.8</v>
      </c>
      <c r="P12" s="2">
        <f t="shared" si="3"/>
        <v>14.4</v>
      </c>
      <c r="Q12" s="2">
        <f t="shared" si="3"/>
        <v>12</v>
      </c>
      <c r="R12" s="2">
        <f t="shared" si="3"/>
        <v>9.6</v>
      </c>
      <c r="S12" s="2">
        <f t="shared" si="3"/>
        <v>7.2</v>
      </c>
      <c r="T12" s="2">
        <f t="shared" si="3"/>
        <v>4.8</v>
      </c>
      <c r="U12" s="2">
        <f t="shared" si="3"/>
        <v>2.4</v>
      </c>
      <c r="V12" s="2">
        <f t="shared" si="3"/>
        <v>0</v>
      </c>
    </row>
    <row r="13" ht="14.25" customHeight="1"/>
    <row r="14" ht="14.25" customHeight="1">
      <c r="B14" s="26"/>
    </row>
    <row r="15" ht="14.25" customHeight="1">
      <c r="B15" s="26"/>
      <c r="G15" s="26"/>
    </row>
    <row r="16" ht="14.25" customHeight="1">
      <c r="B16" s="26"/>
      <c r="G16" s="26"/>
    </row>
    <row r="17" ht="14.25" customHeight="1">
      <c r="B17" s="26"/>
      <c r="G17" s="26"/>
    </row>
    <row r="18" ht="14.25" customHeight="1">
      <c r="B18" s="26"/>
      <c r="G18" s="26"/>
    </row>
    <row r="19" ht="14.25" customHeight="1">
      <c r="B19" s="26"/>
      <c r="G19" s="26"/>
    </row>
    <row r="20" ht="14.25" customHeight="1">
      <c r="B20" s="26"/>
      <c r="G20" s="26"/>
    </row>
    <row r="21" ht="14.25" customHeight="1">
      <c r="B21" s="26"/>
    </row>
    <row r="22" ht="14.25" customHeight="1">
      <c r="B22" s="26"/>
    </row>
    <row r="23" ht="14.25" customHeight="1">
      <c r="B23" s="2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mergeCells count="4">
    <mergeCell ref="A3:A4"/>
    <mergeCell ref="B3:B4"/>
    <mergeCell ref="C3:V3"/>
    <mergeCell ref="W3:W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