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3" sheetId="1" r:id="rId4"/>
  </sheets>
  <definedNames/>
  <calcPr/>
  <extLst>
    <ext uri="GoogleSheetsCustomDataVersion2">
      <go:sheetsCustomData xmlns:go="http://customooxmlschemas.google.com/" r:id="rId5" roundtripDataChecksum="AOLeXLoibSTymr9fUnOtVKkPe7H2Wa87eDZhvz/vAcg="/>
    </ext>
  </extLst>
</workbook>
</file>

<file path=xl/sharedStrings.xml><?xml version="1.0" encoding="utf-8"?>
<sst xmlns="http://schemas.openxmlformats.org/spreadsheetml/2006/main" count="12" uniqueCount="12">
  <si>
    <t>Control del Sprint 3</t>
  </si>
  <si>
    <t>FLORA</t>
  </si>
  <si>
    <t>Historias de Usuario o Spike</t>
  </si>
  <si>
    <t>horas estimadas</t>
  </si>
  <si>
    <t>DIA</t>
  </si>
  <si>
    <t>Total</t>
  </si>
  <si>
    <t>HU-FLOR-009: Reconocimiento Botánico IA</t>
  </si>
  <si>
    <t>HU-FLOR-010: Evaluación de Luminosidad</t>
  </si>
  <si>
    <t>HU-FLOR-011: Fallback Manual Asistido</t>
  </si>
  <si>
    <t>HU-FLOR-012: Diagnóstico de Salud Vegetal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</si>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</sst>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2" fontId="3" numFmtId="0" xfId="0" applyAlignment="1" applyBorder="1" applyFill="1" applyFont="1">
      <alignment horizontal="left" readingOrder="0" shrinkToFit="0" wrapText="1"/>
    </xf>
    <xf borderId="7" fillId="2" fontId="3" numFmtId="0" xfId="0" applyAlignment="1" applyBorder="1" applyFill="1" applyFont="1">
      <alignment horizontal="center" shrinkToFit="0" wrapText="1"/>
    </xf>
    <xf borderId="8" fillId="0" fontId="3" numFmtId="0" xfId="0" applyBorder="1" applyFont="1"/>
    <xf borderId="9" fillId="0" fontId="3" numFmtId="0" xfId="0" applyBorder="1" applyFont="1"/>
    <xf borderId="10" fillId="0" fontId="5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shrinkToFit="0" wrapText="1"/>
    </xf>
    <xf borderId="11" fillId="0" fontId="3" numFmtId="0" xfId="0" applyBorder="1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12" fillId="0" fontId="3" numFmtId="0" xfId="0" applyBorder="1" applyFont="1"/>
    <xf borderId="10" fillId="2" fontId="3" numFmtId="0" xfId="0" applyAlignment="1" applyBorder="1" applyFill="1" applyFont="1">
      <alignment readingOrder="0" shrinkToFit="0" wrapText="1"/>
    </xf>
    <xf borderId="13" fillId="2" fontId="3" numFmtId="0" xfId="0" applyAlignment="1" applyBorder="1" applyFill="1" applyFont="1">
      <alignment horizontal="center" readingOrder="0" shrinkToFit="0" wrapText="1"/>
    </xf>
    <xf borderId="14" fillId="0" fontId="3" numFmtId="0" xfId="0" applyBorder="1" applyFont="1"/>
    <xf borderId="15" fillId="0" fontId="2" numFmtId="0" xfId="0" applyBorder="1" applyFont="1"/>
    <xf borderId="15" fillId="0" fontId="2" numFmtId="0" xfId="0" applyAlignment="1" applyBorder="1" applyFont="1">
      <alignment readingOrder="0"/>
    </xf>
    <xf borderId="5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3'!$B$10:$V$10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3'!$B$12:$V$12</c:f>
              <c:numCache/>
            </c:numRef>
          </c:val>
          <c:smooth val="0"/>
        </c:ser>
        <c:axId val="1201392190"/>
        <c:axId val="2121917477"/>
      </c:lineChart>
      <c:catAx>
        <c:axId val="120139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1917477"/>
      </c:catAx>
      <c:valAx>
        <c:axId val="2121917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139219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2933700"/>
    <xdr:graphicFrame>
      <xdr:nvGraphicFramePr>
        <xdr:cNvPr id="191335844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29"/>
    <col customWidth="1" min="2" max="2" width="17.0"/>
    <col customWidth="1" min="3" max="3" width="15.14"/>
    <col customWidth="1" min="4" max="4" width="10.86"/>
    <col customWidth="1" min="5" max="6" width="6.86"/>
    <col customWidth="1" min="7" max="7" width="9.29"/>
    <col customWidth="1" min="8" max="8" width="5.86"/>
    <col customWidth="1" min="9" max="9" width="10.29"/>
    <col customWidth="1" min="10" max="10" width="7.0"/>
    <col customWidth="1" min="11" max="11" width="5.86"/>
    <col customWidth="1" min="12" max="12" width="5.29"/>
    <col customWidth="1" min="13" max="13" width="7.29"/>
    <col customWidth="1" min="14" max="14" width="4.43"/>
    <col customWidth="1" min="15" max="15" width="4.57"/>
    <col customWidth="1" min="16" max="16" width="5.43"/>
    <col customWidth="1" min="17" max="17" width="3.43"/>
    <col customWidth="1" min="18" max="18" width="4.71"/>
    <col customWidth="1" min="19" max="19" width="8.14"/>
    <col customWidth="1" min="20" max="20" width="4.14"/>
    <col customWidth="1" min="21" max="22" width="3.43"/>
    <col customWidth="1" min="23" max="23" width="18.14"/>
    <col customWidth="1" min="24" max="29" width="10.71"/>
  </cols>
  <sheetData>
    <row r="1" ht="50.25" customHeight="1">
      <c r="A1" s="1" t="s">
        <v>0</v>
      </c>
      <c r="B1" s="2" t="s">
        <v>1</v>
      </c>
    </row>
    <row r="2" ht="14.25" customHeight="1"/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7"/>
    </row>
    <row r="5" ht="33.75" customHeight="1">
      <c r="A5" s="9" t="s">
        <v>6</v>
      </c>
      <c r="B5" s="10">
        <v>16.0</v>
      </c>
      <c r="C5" s="11">
        <v>2.0</v>
      </c>
      <c r="D5" s="12">
        <v>4.0</v>
      </c>
      <c r="E5" s="12">
        <v>4.0</v>
      </c>
      <c r="F5" s="12">
        <v>4.0</v>
      </c>
      <c r="G5" s="12">
        <v>2.0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8">
        <f t="shared" ref="W5:W8" si="1">SUM(C5:V5)</f>
        <v>16</v>
      </c>
    </row>
    <row r="6" ht="33.75" customHeight="1">
      <c r="A6" s="13" t="s">
        <v>7</v>
      </c>
      <c r="B6" s="14">
        <v>16.0</v>
      </c>
      <c r="C6" s="15"/>
      <c r="F6" s="2"/>
      <c r="G6" s="2">
        <v>4.0</v>
      </c>
      <c r="H6" s="2">
        <v>4.0</v>
      </c>
      <c r="I6" s="2">
        <v>2.0</v>
      </c>
      <c r="J6" s="16">
        <v>4.0</v>
      </c>
      <c r="K6" s="17">
        <v>2.0</v>
      </c>
      <c r="W6" s="18">
        <f t="shared" si="1"/>
        <v>16</v>
      </c>
    </row>
    <row r="7" ht="22.5" customHeight="1">
      <c r="A7" s="19" t="s">
        <v>8</v>
      </c>
      <c r="B7" s="20">
        <v>12.0</v>
      </c>
      <c r="C7" s="15"/>
      <c r="I7" s="2"/>
      <c r="J7" s="2"/>
      <c r="K7" s="16">
        <v>4.0</v>
      </c>
      <c r="L7" s="16">
        <v>4.0</v>
      </c>
      <c r="M7" s="17">
        <v>2.0</v>
      </c>
      <c r="N7" s="17">
        <v>2.0</v>
      </c>
      <c r="W7" s="18">
        <f t="shared" si="1"/>
        <v>12</v>
      </c>
    </row>
    <row r="8" ht="26.25" customHeight="1">
      <c r="A8" s="13" t="s">
        <v>9</v>
      </c>
      <c r="B8" s="14">
        <v>8.0</v>
      </c>
      <c r="C8" s="21"/>
      <c r="D8" s="22"/>
      <c r="E8" s="22"/>
      <c r="F8" s="22"/>
      <c r="G8" s="22"/>
      <c r="H8" s="22"/>
      <c r="I8" s="22"/>
      <c r="J8" s="22"/>
      <c r="K8" s="23"/>
      <c r="L8" s="23"/>
      <c r="M8" s="23"/>
      <c r="N8" s="22">
        <v>2.0</v>
      </c>
      <c r="O8" s="23">
        <v>2.0</v>
      </c>
      <c r="P8" s="23">
        <v>2.0</v>
      </c>
      <c r="Q8" s="23">
        <v>2.0</v>
      </c>
      <c r="R8" s="22"/>
      <c r="S8" s="22"/>
      <c r="T8" s="22"/>
      <c r="U8" s="22"/>
      <c r="V8" s="22"/>
      <c r="W8" s="24">
        <f t="shared" si="1"/>
        <v>8</v>
      </c>
    </row>
    <row r="9" ht="14.25" customHeight="1"/>
    <row r="10" ht="14.25" customHeight="1">
      <c r="A10" s="25" t="s">
        <v>10</v>
      </c>
      <c r="B10" s="2">
        <f>SUM(B5:B9)</f>
        <v>52</v>
      </c>
      <c r="C10" s="2">
        <f t="shared" ref="C10:V10" si="2">B10-SUM(C5:C8)</f>
        <v>50</v>
      </c>
      <c r="D10" s="2">
        <f t="shared" si="2"/>
        <v>46</v>
      </c>
      <c r="E10" s="2">
        <f t="shared" si="2"/>
        <v>42</v>
      </c>
      <c r="F10" s="2">
        <f t="shared" si="2"/>
        <v>38</v>
      </c>
      <c r="G10" s="2">
        <f t="shared" si="2"/>
        <v>32</v>
      </c>
      <c r="H10" s="2">
        <f t="shared" si="2"/>
        <v>28</v>
      </c>
      <c r="I10" s="2">
        <f t="shared" si="2"/>
        <v>26</v>
      </c>
      <c r="J10" s="2">
        <f t="shared" si="2"/>
        <v>22</v>
      </c>
      <c r="K10" s="2">
        <f t="shared" si="2"/>
        <v>16</v>
      </c>
      <c r="L10" s="2">
        <f t="shared" si="2"/>
        <v>12</v>
      </c>
      <c r="M10" s="2">
        <f t="shared" si="2"/>
        <v>10</v>
      </c>
      <c r="N10" s="2">
        <f t="shared" si="2"/>
        <v>6</v>
      </c>
      <c r="O10" s="2">
        <f t="shared" si="2"/>
        <v>4</v>
      </c>
      <c r="P10" s="2">
        <f t="shared" si="2"/>
        <v>2</v>
      </c>
      <c r="Q10" s="2">
        <f t="shared" si="2"/>
        <v>0</v>
      </c>
      <c r="R10" s="2">
        <f t="shared" si="2"/>
        <v>0</v>
      </c>
      <c r="S10" s="2">
        <f t="shared" si="2"/>
        <v>0</v>
      </c>
      <c r="T10" s="2">
        <f t="shared" si="2"/>
        <v>0</v>
      </c>
      <c r="U10" s="2">
        <f t="shared" si="2"/>
        <v>0</v>
      </c>
      <c r="V10" s="2">
        <f t="shared" si="2"/>
        <v>0</v>
      </c>
    </row>
    <row r="11" ht="14.25" customHeight="1"/>
    <row r="12" ht="14.25" customHeight="1">
      <c r="A12" s="25" t="s">
        <v>11</v>
      </c>
      <c r="B12" s="2">
        <f>SUM(B5:B8)</f>
        <v>52</v>
      </c>
      <c r="C12" s="2">
        <f t="shared" ref="C12:V12" si="3">B12-(SUM($B$5:$B$8)/20)</f>
        <v>49.4</v>
      </c>
      <c r="D12" s="2">
        <f t="shared" si="3"/>
        <v>46.8</v>
      </c>
      <c r="E12" s="2">
        <f t="shared" si="3"/>
        <v>44.2</v>
      </c>
      <c r="F12" s="2">
        <f t="shared" si="3"/>
        <v>41.6</v>
      </c>
      <c r="G12" s="2">
        <f t="shared" si="3"/>
        <v>39</v>
      </c>
      <c r="H12" s="2">
        <f t="shared" si="3"/>
        <v>36.4</v>
      </c>
      <c r="I12" s="2">
        <f t="shared" si="3"/>
        <v>33.8</v>
      </c>
      <c r="J12" s="2">
        <f t="shared" si="3"/>
        <v>31.2</v>
      </c>
      <c r="K12" s="2">
        <f t="shared" si="3"/>
        <v>28.6</v>
      </c>
      <c r="L12" s="2">
        <f t="shared" si="3"/>
        <v>26</v>
      </c>
      <c r="M12" s="2">
        <f t="shared" si="3"/>
        <v>23.4</v>
      </c>
      <c r="N12" s="2">
        <f t="shared" si="3"/>
        <v>20.8</v>
      </c>
      <c r="O12" s="2">
        <f t="shared" si="3"/>
        <v>18.2</v>
      </c>
      <c r="P12" s="2">
        <f t="shared" si="3"/>
        <v>15.6</v>
      </c>
      <c r="Q12" s="2">
        <f t="shared" si="3"/>
        <v>13</v>
      </c>
      <c r="R12" s="2">
        <f t="shared" si="3"/>
        <v>10.4</v>
      </c>
      <c r="S12" s="2">
        <f t="shared" si="3"/>
        <v>7.8</v>
      </c>
      <c r="T12" s="2">
        <f t="shared" si="3"/>
        <v>5.2</v>
      </c>
      <c r="U12" s="2">
        <f t="shared" si="3"/>
        <v>2.6</v>
      </c>
      <c r="V12" s="2">
        <f t="shared" si="3"/>
        <v>0</v>
      </c>
    </row>
    <row r="13" ht="14.25" customHeight="1"/>
    <row r="14" ht="14.25" customHeight="1">
      <c r="B14" s="26"/>
    </row>
    <row r="15" ht="14.25" customHeight="1">
      <c r="B15" s="26"/>
      <c r="G15" s="26"/>
    </row>
    <row r="16" ht="14.25" customHeight="1">
      <c r="B16" s="26"/>
      <c r="G16" s="26"/>
    </row>
    <row r="17" ht="14.25" customHeight="1">
      <c r="B17" s="26"/>
      <c r="G17" s="26"/>
    </row>
    <row r="18" ht="14.25" customHeight="1">
      <c r="B18" s="26"/>
      <c r="G18" s="26"/>
    </row>
    <row r="19" ht="14.25" customHeight="1">
      <c r="B19" s="26"/>
      <c r="G19" s="26"/>
    </row>
    <row r="20" ht="14.25" customHeight="1">
      <c r="B20" s="26"/>
      <c r="G20" s="26"/>
    </row>
    <row r="21" ht="14.25" customHeight="1">
      <c r="B21" s="26"/>
    </row>
    <row r="22" ht="14.25" customHeight="1">
      <c r="B22" s="26"/>
    </row>
    <row r="23" ht="14.25" customHeight="1">
      <c r="B23" s="2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