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4" sheetId="1" r:id="rId4"/>
  </sheets>
  <definedNames/>
  <calcPr/>
  <extLst>
    <ext uri="GoogleSheetsCustomDataVersion2">
      <go:sheetsCustomData xmlns:go="http://customooxmlschemas.google.com/" r:id="rId5" roundtripDataChecksum="euPO5hloOcULhpoD78bxLCwwt3gGPUR85qo4fDZy0Eg="/>
    </ext>
  </extLst>
</workbook>
</file>

<file path=xl/sharedStrings.xml><?xml version="1.0" encoding="utf-8"?>
<sst xmlns="http://schemas.openxmlformats.org/spreadsheetml/2006/main" count="11" uniqueCount="11">
  <si>
    <t>Control del Sprint 4</t>
  </si>
  <si>
    <t>FLORA</t>
  </si>
  <si>
    <t>Historias de Usuario o Spike</t>
  </si>
  <si>
    <t>horas estimadas</t>
  </si>
  <si>
    <t>DIA</t>
  </si>
  <si>
    <t>Total</t>
  </si>
  <si>
    <t>HU-FLOR-013: Caché Local SQLite Offline</t>
  </si>
  <si>
    <t>HU-FLOR-014: Catálogo e Historial Vegetal</t>
  </si>
  <si>
    <t xml:space="preserve">HU-FLOR-015 : Notificaciones Push Riego
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</si>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</sst>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2" fontId="3" numFmtId="0" xfId="0" applyAlignment="1" applyBorder="1" applyFill="1" applyFont="1">
      <alignment horizontal="left" readingOrder="0" shrinkToFit="0" wrapText="1"/>
    </xf>
    <xf borderId="7" fillId="2" fontId="3" numFmtId="0" xfId="0" applyAlignment="1" applyBorder="1" applyFill="1" applyFont="1">
      <alignment horizontal="center" readingOrder="0" shrinkToFit="0" wrapText="1"/>
    </xf>
    <xf borderId="8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shrinkToFit="0" wrapText="1"/>
    </xf>
    <xf borderId="10" fillId="0" fontId="3" numFmtId="0" xfId="0" applyBorder="1" applyFont="1"/>
    <xf borderId="0" fillId="0" fontId="2" numFmtId="0" xfId="0" applyAlignment="1" applyFont="1">
      <alignment readingOrder="0"/>
    </xf>
    <xf borderId="11" fillId="0" fontId="3" numFmtId="0" xfId="0" applyBorder="1" applyFont="1"/>
    <xf borderId="12" fillId="2" fontId="3" numFmtId="0" xfId="0" applyAlignment="1" applyBorder="1" applyFill="1" applyFont="1">
      <alignment readingOrder="0" shrinkToFit="0" wrapText="1"/>
    </xf>
    <xf borderId="13" fillId="2" fontId="3" numFmtId="0" xfId="0" applyAlignment="1" applyBorder="1" applyFill="1" applyFont="1">
      <alignment horizontal="center" readingOrder="0" shrinkToFit="0" wrapText="1"/>
    </xf>
    <xf borderId="14" fillId="0" fontId="3" numFmtId="0" xfId="0" applyBorder="1" applyFont="1"/>
    <xf borderId="15" fillId="0" fontId="5" numFmtId="0" xfId="0" applyBorder="1" applyFont="1"/>
    <xf borderId="15" fillId="0" fontId="2" numFmtId="0" xfId="0" applyBorder="1" applyFont="1"/>
    <xf borderId="15" fillId="0" fontId="2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4'!$B$9:$V$9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4'!$B$11:$V$11</c:f>
              <c:numCache/>
            </c:numRef>
          </c:val>
          <c:smooth val="0"/>
        </c:ser>
        <c:axId val="1775034014"/>
        <c:axId val="1340341495"/>
      </c:lineChart>
      <c:catAx>
        <c:axId val="1775034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0341495"/>
      </c:catAx>
      <c:valAx>
        <c:axId val="1340341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50340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2933700"/>
    <xdr:graphicFrame>
      <xdr:nvGraphicFramePr>
        <xdr:cNvPr id="1913358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7.0"/>
    <col customWidth="1" min="3" max="3" width="15.14"/>
    <col customWidth="1" min="4" max="4" width="10.86"/>
    <col customWidth="1" min="5" max="6" width="6.86"/>
    <col customWidth="1" min="7" max="7" width="9.29"/>
    <col customWidth="1" min="8" max="8" width="5.86"/>
    <col customWidth="1" min="9" max="9" width="10.29"/>
    <col customWidth="1" min="10" max="10" width="7.0"/>
    <col customWidth="1" min="11" max="11" width="5.86"/>
    <col customWidth="1" min="12" max="12" width="5.29"/>
    <col customWidth="1" min="13" max="13" width="7.29"/>
    <col customWidth="1" min="14" max="14" width="4.43"/>
    <col customWidth="1" min="15" max="15" width="4.57"/>
    <col customWidth="1" min="16" max="16" width="5.43"/>
    <col customWidth="1" min="17" max="17" width="3.43"/>
    <col customWidth="1" min="18" max="18" width="4.71"/>
    <col customWidth="1" min="19" max="19" width="8.14"/>
    <col customWidth="1" min="20" max="20" width="4.14"/>
    <col customWidth="1" min="21" max="22" width="3.43"/>
    <col customWidth="1" min="23" max="23" width="18.14"/>
    <col customWidth="1" min="24" max="29" width="10.71"/>
  </cols>
  <sheetData>
    <row r="1" ht="50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7"/>
    </row>
    <row r="5" ht="33.75" customHeight="1">
      <c r="A5" s="9" t="s">
        <v>6</v>
      </c>
      <c r="B5" s="10">
        <v>12.0</v>
      </c>
      <c r="C5" s="11">
        <v>2.0</v>
      </c>
      <c r="D5" s="12">
        <v>4.0</v>
      </c>
      <c r="E5" s="13">
        <v>2.0</v>
      </c>
      <c r="F5" s="13">
        <v>2.0</v>
      </c>
      <c r="G5" s="13">
        <v>2.0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8">
        <f t="shared" ref="W5:W7" si="1">SUM(C5:V5)</f>
        <v>12</v>
      </c>
    </row>
    <row r="6" ht="33.75" customHeight="1">
      <c r="A6" s="9" t="s">
        <v>7</v>
      </c>
      <c r="B6" s="14">
        <v>16.0</v>
      </c>
      <c r="C6" s="15"/>
      <c r="F6" s="16"/>
      <c r="G6" s="2">
        <v>4.0</v>
      </c>
      <c r="H6" s="16">
        <v>2.0</v>
      </c>
      <c r="I6" s="16">
        <v>4.0</v>
      </c>
      <c r="J6" s="2">
        <v>4.0</v>
      </c>
      <c r="K6" s="16">
        <v>2.0</v>
      </c>
      <c r="W6" s="17">
        <f t="shared" si="1"/>
        <v>16</v>
      </c>
    </row>
    <row r="7" ht="22.5" customHeight="1">
      <c r="A7" s="18" t="s">
        <v>8</v>
      </c>
      <c r="B7" s="19">
        <v>8.0</v>
      </c>
      <c r="C7" s="20"/>
      <c r="D7" s="21"/>
      <c r="E7" s="21"/>
      <c r="F7" s="21"/>
      <c r="G7" s="21"/>
      <c r="H7" s="21"/>
      <c r="I7" s="22"/>
      <c r="J7" s="22"/>
      <c r="K7" s="22">
        <v>4.0</v>
      </c>
      <c r="L7" s="23">
        <v>2.0</v>
      </c>
      <c r="M7" s="23">
        <v>2.0</v>
      </c>
      <c r="N7" s="22"/>
      <c r="O7" s="24"/>
      <c r="P7" s="24"/>
      <c r="Q7" s="21"/>
      <c r="R7" s="21"/>
      <c r="S7" s="21"/>
      <c r="T7" s="21"/>
      <c r="U7" s="21"/>
      <c r="V7" s="21"/>
      <c r="W7" s="25">
        <f t="shared" si="1"/>
        <v>8</v>
      </c>
    </row>
    <row r="8" ht="14.25" customHeight="1"/>
    <row r="9" ht="14.25" customHeight="1">
      <c r="A9" s="26" t="s">
        <v>9</v>
      </c>
      <c r="B9" s="2">
        <f>SUM(B5:B8)</f>
        <v>36</v>
      </c>
      <c r="C9" s="2">
        <f t="shared" ref="C9:V9" si="2">B9-SUM(C5:C7)</f>
        <v>34</v>
      </c>
      <c r="D9" s="2">
        <f t="shared" si="2"/>
        <v>30</v>
      </c>
      <c r="E9" s="2">
        <f t="shared" si="2"/>
        <v>28</v>
      </c>
      <c r="F9" s="2">
        <f t="shared" si="2"/>
        <v>26</v>
      </c>
      <c r="G9" s="2">
        <f t="shared" si="2"/>
        <v>20</v>
      </c>
      <c r="H9" s="2">
        <f t="shared" si="2"/>
        <v>18</v>
      </c>
      <c r="I9" s="2">
        <f t="shared" si="2"/>
        <v>14</v>
      </c>
      <c r="J9" s="2">
        <f t="shared" si="2"/>
        <v>10</v>
      </c>
      <c r="K9" s="2">
        <f t="shared" si="2"/>
        <v>4</v>
      </c>
      <c r="L9" s="2">
        <f t="shared" si="2"/>
        <v>2</v>
      </c>
      <c r="M9" s="2">
        <f t="shared" si="2"/>
        <v>0</v>
      </c>
      <c r="N9" s="2">
        <f t="shared" si="2"/>
        <v>0</v>
      </c>
      <c r="O9" s="2">
        <f t="shared" si="2"/>
        <v>0</v>
      </c>
      <c r="P9" s="2">
        <f t="shared" si="2"/>
        <v>0</v>
      </c>
      <c r="Q9" s="2">
        <f t="shared" si="2"/>
        <v>0</v>
      </c>
      <c r="R9" s="2">
        <f t="shared" si="2"/>
        <v>0</v>
      </c>
      <c r="S9" s="2">
        <f t="shared" si="2"/>
        <v>0</v>
      </c>
      <c r="T9" s="2">
        <f t="shared" si="2"/>
        <v>0</v>
      </c>
      <c r="U9" s="2">
        <f t="shared" si="2"/>
        <v>0</v>
      </c>
      <c r="V9" s="2">
        <f t="shared" si="2"/>
        <v>0</v>
      </c>
    </row>
    <row r="10" ht="14.25" customHeight="1"/>
    <row r="11" ht="14.25" customHeight="1">
      <c r="A11" s="26" t="s">
        <v>10</v>
      </c>
      <c r="B11" s="2">
        <f>SUM(B5:B7)</f>
        <v>36</v>
      </c>
      <c r="C11" s="2">
        <f t="shared" ref="C11:V11" si="3">B11-(SUM($B$5:$B$7)/20)</f>
        <v>34.2</v>
      </c>
      <c r="D11" s="2">
        <f t="shared" si="3"/>
        <v>32.4</v>
      </c>
      <c r="E11" s="2">
        <f t="shared" si="3"/>
        <v>30.6</v>
      </c>
      <c r="F11" s="2">
        <f t="shared" si="3"/>
        <v>28.8</v>
      </c>
      <c r="G11" s="2">
        <f t="shared" si="3"/>
        <v>27</v>
      </c>
      <c r="H11" s="2">
        <f t="shared" si="3"/>
        <v>25.2</v>
      </c>
      <c r="I11" s="2">
        <f t="shared" si="3"/>
        <v>23.4</v>
      </c>
      <c r="J11" s="2">
        <f t="shared" si="3"/>
        <v>21.6</v>
      </c>
      <c r="K11" s="2">
        <f t="shared" si="3"/>
        <v>19.8</v>
      </c>
      <c r="L11" s="2">
        <f t="shared" si="3"/>
        <v>18</v>
      </c>
      <c r="M11" s="2">
        <f t="shared" si="3"/>
        <v>16.2</v>
      </c>
      <c r="N11" s="2">
        <f t="shared" si="3"/>
        <v>14.4</v>
      </c>
      <c r="O11" s="2">
        <f t="shared" si="3"/>
        <v>12.6</v>
      </c>
      <c r="P11" s="2">
        <f t="shared" si="3"/>
        <v>10.8</v>
      </c>
      <c r="Q11" s="2">
        <f t="shared" si="3"/>
        <v>9</v>
      </c>
      <c r="R11" s="2">
        <f t="shared" si="3"/>
        <v>7.2</v>
      </c>
      <c r="S11" s="2">
        <f t="shared" si="3"/>
        <v>5.4</v>
      </c>
      <c r="T11" s="2">
        <f t="shared" si="3"/>
        <v>3.6</v>
      </c>
      <c r="U11" s="2">
        <f t="shared" si="3"/>
        <v>1.8</v>
      </c>
      <c r="V11" s="2">
        <f t="shared" si="3"/>
        <v>0</v>
      </c>
    </row>
    <row r="12" ht="14.25" customHeight="1"/>
    <row r="13" ht="14.25" customHeight="1">
      <c r="B13" s="27"/>
    </row>
    <row r="14" ht="14.25" customHeight="1">
      <c r="B14" s="27"/>
      <c r="G14" s="27"/>
    </row>
    <row r="15" ht="14.25" customHeight="1">
      <c r="B15" s="27"/>
      <c r="G15" s="27"/>
    </row>
    <row r="16" ht="14.25" customHeight="1">
      <c r="B16" s="27"/>
      <c r="G16" s="27"/>
    </row>
    <row r="17" ht="14.25" customHeight="1">
      <c r="B17" s="27"/>
      <c r="G17" s="27"/>
    </row>
    <row r="18" ht="14.25" customHeight="1">
      <c r="B18" s="27"/>
      <c r="G18" s="27"/>
    </row>
    <row r="19" ht="14.25" customHeight="1">
      <c r="B19" s="27"/>
      <c r="G19" s="27"/>
    </row>
    <row r="20" ht="14.25" customHeight="1">
      <c r="B20" s="27"/>
    </row>
    <row r="21" ht="14.25" customHeight="1">
      <c r="B21" s="27"/>
    </row>
    <row r="22" ht="14.25" customHeight="1">
      <c r="B22" s="2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